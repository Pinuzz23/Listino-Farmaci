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Pulvirenti\OneDrive - GKSD SRL\Desktop\Progetto Farmaci_2026\Test\"/>
    </mc:Choice>
  </mc:AlternateContent>
  <xr:revisionPtr revIDLastSave="0" documentId="13_ncr:1_{B8537E04-42EF-4473-857F-DAA9BA20C7CF}" xr6:coauthVersionLast="47" xr6:coauthVersionMax="47" xr10:uidLastSave="{00000000-0000-0000-0000-000000000000}"/>
  <bookViews>
    <workbookView xWindow="3030" yWindow="-16320" windowWidth="29040" windowHeight="15720" xr2:uid="{72FA0151-321F-49C9-9F24-9B5C5904A43C}"/>
  </bookViews>
  <sheets>
    <sheet name="Tracciato" sheetId="1" r:id="rId1"/>
    <sheet name="Elenchi" sheetId="4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" i="1" l="1"/>
  <c r="N3" i="1"/>
</calcChain>
</file>

<file path=xl/sharedStrings.xml><?xml version="1.0" encoding="utf-8"?>
<sst xmlns="http://schemas.openxmlformats.org/spreadsheetml/2006/main" count="117" uniqueCount="102">
  <si>
    <t>Fornitore</t>
  </si>
  <si>
    <t>AIC</t>
  </si>
  <si>
    <t>Codice Fornitore</t>
  </si>
  <si>
    <t>Materiale Pericoloso</t>
  </si>
  <si>
    <t>Fala / Lasa</t>
  </si>
  <si>
    <t>Prezzo Unitario</t>
  </si>
  <si>
    <t>Prezzo Confezione</t>
  </si>
  <si>
    <t>Gruppo di Stivaggio</t>
  </si>
  <si>
    <t>IVA</t>
  </si>
  <si>
    <t>ATC7</t>
  </si>
  <si>
    <t>ATC9</t>
  </si>
  <si>
    <t>Note</t>
  </si>
  <si>
    <t>Nome Commerciale</t>
  </si>
  <si>
    <t>012745055</t>
  </si>
  <si>
    <t>ANGELINI PHARMA S.P.A.</t>
  </si>
  <si>
    <t>TACHIPIRINA*BB 10SUPP 500MG</t>
  </si>
  <si>
    <t>N</t>
  </si>
  <si>
    <t>N02BE01</t>
  </si>
  <si>
    <t>N02BE01IG</t>
  </si>
  <si>
    <t>009324029</t>
  </si>
  <si>
    <t>NOVESINA*30FL 0,5ML 4MG/ML</t>
  </si>
  <si>
    <t>THEA FARMA S.P.A.</t>
  </si>
  <si>
    <t>S01HA02</t>
  </si>
  <si>
    <t>S01HA02GC</t>
  </si>
  <si>
    <t>-</t>
  </si>
  <si>
    <t>Stupefacente</t>
  </si>
  <si>
    <t>FREEZER_Freezer</t>
  </si>
  <si>
    <t>STD_Standard</t>
  </si>
  <si>
    <t>Iva</t>
  </si>
  <si>
    <t>Gruppo di Stoccaggio</t>
  </si>
  <si>
    <t>FRIGO_Frigo</t>
  </si>
  <si>
    <t>STUPEF_Stupefacenti</t>
  </si>
  <si>
    <t>Elenco</t>
  </si>
  <si>
    <t>Y</t>
  </si>
  <si>
    <t>Indicare la ragione sociale del fornitore</t>
  </si>
  <si>
    <t>Inserire il codice AIC unico dell'articolo</t>
  </si>
  <si>
    <t>In assenza di codice AIC indicare il codice interno ad uso del fornitore per identificare l'articolo</t>
  </si>
  <si>
    <t>Nome Commerciale dell'articolo</t>
  </si>
  <si>
    <t>Flag Y / N per indicare se si tratta di materiale pericoloso</t>
  </si>
  <si>
    <t>Riportare la descrizione del campo ATC7</t>
  </si>
  <si>
    <t>Riportare la descrizione del campo ATC9</t>
  </si>
  <si>
    <t>Flag Y / N per indicare se si tratta di un articolo Fala / Lasa</t>
  </si>
  <si>
    <t>Campo ad imputazione del Buyer Gksd ProCure che dovrà riportare secondo l'elenco prestabilito a quale gruppo di stivaggio fa riferimento l'articolo. Il campo in essere restituirà l'informazione indispensabile per indicare la corretta ubicazione della merce in magazzino</t>
  </si>
  <si>
    <t>Prezzo unitario ( es: costo singola pasticca o unità indivisibile di cui si compone l'articolo )</t>
  </si>
  <si>
    <t>Prezzo a Confezione ( es: Moltiplicatore dell'unità per confezione per le singole unità indivisibili presenti nel blister )</t>
  </si>
  <si>
    <t>UPC</t>
  </si>
  <si>
    <t>Unità per confezione</t>
  </si>
  <si>
    <t>Indicare l'aliquota iva alla quale è soggetto l'articolo in essere</t>
  </si>
  <si>
    <t>Campo note per indicazioni generiche sulle condizioni di vendita e/o acquisto dell'articolo</t>
  </si>
  <si>
    <t>Temperatura di Stivaggio</t>
  </si>
  <si>
    <t>inferiore a + 30°C</t>
  </si>
  <si>
    <t>inferiore a + 25°C</t>
  </si>
  <si>
    <t>inferiore a + 20°C</t>
  </si>
  <si>
    <t>inferiore a + 15°C</t>
  </si>
  <si>
    <t>inferiore a - 18°C</t>
  </si>
  <si>
    <t>inferiore a - 65°C</t>
  </si>
  <si>
    <t>da + 2 a 8°C</t>
  </si>
  <si>
    <t>da + 15 a 30°C</t>
  </si>
  <si>
    <t>da + 15 a 25°C</t>
  </si>
  <si>
    <t>da + 0 a 4°C</t>
  </si>
  <si>
    <t>da -90 a -60°C</t>
  </si>
  <si>
    <t>a -20°C</t>
  </si>
  <si>
    <t>da -50 a -15°C</t>
  </si>
  <si>
    <t>da -25 a -15°C</t>
  </si>
  <si>
    <t>da -25 a -10°C</t>
  </si>
  <si>
    <t>da -20 a -10°C</t>
  </si>
  <si>
    <t>a 4°C</t>
  </si>
  <si>
    <t>da + 4 a 8°C</t>
  </si>
  <si>
    <t>da + 4 a 20°C</t>
  </si>
  <si>
    <t>da + 15 a 22°C</t>
  </si>
  <si>
    <t>da + 15 a 24°C</t>
  </si>
  <si>
    <t>da + 18 a 25°C</t>
  </si>
  <si>
    <t>da + 20 a 25°C</t>
  </si>
  <si>
    <t>da + 23 a 27°C</t>
  </si>
  <si>
    <t>da + 20 a 30°C</t>
  </si>
  <si>
    <t>inferiore a + 40°C</t>
  </si>
  <si>
    <t>inferiore a + 50°C</t>
  </si>
  <si>
    <t>superiore a -5°C</t>
  </si>
  <si>
    <t>superiore a 0°C</t>
  </si>
  <si>
    <t>superiore a 5°C</t>
  </si>
  <si>
    <t>superiore a 10°C</t>
  </si>
  <si>
    <t>Indicare la fascia di temperatura per lo stivaggio in magazzino.</t>
  </si>
  <si>
    <t>Numero minimo di unità indivisibili movimentabili. Gli ordini successivi devono rispettarne i multipli.</t>
  </si>
  <si>
    <t>Minimo Movimentabile</t>
  </si>
  <si>
    <t>Indicare il campo secondo la lista proposta</t>
  </si>
  <si>
    <t>AGENTI ANABOLIZZANTI</t>
  </si>
  <si>
    <t>ORMONI</t>
  </si>
  <si>
    <t>P1 BETA-BLOCCANTI</t>
  </si>
  <si>
    <t>P2 BETA-BLOCCANTI</t>
  </si>
  <si>
    <t>S1 AGENTI ANABOLIZZANTI</t>
  </si>
  <si>
    <t>S2 ORMONI PEPT,FAT.CRES.E CORR</t>
  </si>
  <si>
    <t>S3 BETA2 AGONISTI</t>
  </si>
  <si>
    <t>S4 MODULATORI ORM.E METABOLICI</t>
  </si>
  <si>
    <t>S5 DIURETICI E AGENTI MASCHER</t>
  </si>
  <si>
    <t>S6 STIMOLANTI</t>
  </si>
  <si>
    <t>S7 NARCOTICI</t>
  </si>
  <si>
    <t>S8 CANNABINOIDI</t>
  </si>
  <si>
    <t>S9 GLUCOCORTICOSTEROIDI</t>
  </si>
  <si>
    <t>STIMOLANTI</t>
  </si>
  <si>
    <t>No</t>
  </si>
  <si>
    <t>Indicare il principio attivo</t>
  </si>
  <si>
    <t>Principio Attivo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</si>
</sst>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0" fillId="0" borderId="0" xfId="2" applyFont="1"/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</cellXfs>
  <cellStyles count="3">
    <cellStyle name="Normale" xfId="0" builtinId="0"/>
    <cellStyle name="Percentuale" xfId="2" builtinId="5"/>
    <cellStyle name="Valuta" xfId="1" builtinId="4"/>
  </cellStyles>
  <dxfs count="0"/>
  <tableStyles count="1" defaultTableStyle="TableStyleMedium2" defaultPivotStyle="PivotStyleLight16">
    <tableStyle name="Invisible" pivot="0" table="0" count="0" xr9:uid="{C8219692-146F-4C73-BFB2-9FCF205D6B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1C9AC9-99E3-456C-91CB-ADF943AF9C50}" name="Tabella2" displayName="Tabella2" ref="E1:E5" totalsRowShown="0">
  <autoFilter ref="E1:E5" xr:uid="{C61C9AC9-99E3-456C-91CB-ADF943AF9C50}"/>
  <tableColumns count="1">
    <tableColumn id="1" xr3:uid="{90EC2B56-DB2C-4FB9-A468-BD650E9C3092}" name="Gruppo di Stoccagg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9DE362-5C11-46A3-A748-DDC5EC2F9B81}" name="Tabella3" displayName="Tabella3" ref="A1:A5" totalsRowShown="0" dataCellStyle="Percentuale">
  <autoFilter ref="A1:A5" xr:uid="{F09DE362-5C11-46A3-A748-DDC5EC2F9B81}"/>
  <tableColumns count="1">
    <tableColumn id="1" xr3:uid="{B4CC3A8E-F2E7-45A6-9FFE-BE62D6C08BB3}" name="Iva" dataCellStyle="Percentu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C478A8-7BA0-4033-904F-F5A37BA14A8F}" name="Tabella4" displayName="Tabella4" ref="C1:C3" totalsRowShown="0">
  <autoFilter ref="C1:C3" xr:uid="{AEC478A8-7BA0-4033-904F-F5A37BA14A8F}"/>
  <tableColumns count="1">
    <tableColumn id="1" xr3:uid="{DDE1EBC7-E286-4A72-8393-BD962C5915C3}" name="Elenc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3DE66-2C87-4294-9729-863A3740CA5A}" name="Tabella1" displayName="Tabella1" ref="H1:H32" totalsRowShown="0">
  <autoFilter ref="H1:H32" xr:uid="{0003DE66-2C87-4294-9729-863A3740CA5A}"/>
  <tableColumns count="1">
    <tableColumn id="1" xr3:uid="{288520FA-D43B-473D-9779-73B8A08FFBF9}" name="Temperatura di Stivagg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68F822-8355-41E7-9A47-806B574AC564}" name="Tabella5" displayName="Tabella5" ref="J1:J16" totalsRowShown="0">
  <autoFilter ref="J1:J16" xr:uid="{B468F822-8355-41E7-9A47-806B574AC564}"/>
  <tableColumns count="1">
    <tableColumn id="1" xr3:uid="{4329C779-42B8-4721-BEF6-DC7E9891C3F0}" name="Stupefac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63A9-8578-424C-9C67-B0F8E3F9998E}">
  <dimension ref="A1:R4"/>
  <sheetViews>
    <sheetView tabSelected="1" zoomScale="90" zoomScaleNormal="90" workbookViewId="0">
      <selection activeCell="G11" sqref="G11"/>
    </sheetView>
  </sheetViews>
  <sheetFormatPr defaultRowHeight="14.5" x14ac:dyDescent="0.35"/>
  <cols>
    <col min="1" max="1" width="26.453125" customWidth="1"/>
    <col min="2" max="2" width="19.36328125" bestFit="1" customWidth="1"/>
    <col min="3" max="3" width="18.6328125" bestFit="1" customWidth="1"/>
    <col min="4" max="4" width="27.90625" bestFit="1" customWidth="1"/>
    <col min="5" max="5" width="27.90625" customWidth="1"/>
    <col min="6" max="6" width="22.90625" bestFit="1" customWidth="1"/>
    <col min="7" max="7" width="21.81640625" customWidth="1"/>
    <col min="8" max="8" width="17.453125" customWidth="1"/>
    <col min="9" max="9" width="17.6328125" bestFit="1" customWidth="1"/>
    <col min="10" max="10" width="15.08984375" bestFit="1" customWidth="1"/>
    <col min="11" max="11" width="30.90625" bestFit="1" customWidth="1"/>
    <col min="12" max="12" width="30.90625" customWidth="1"/>
    <col min="13" max="13" width="19.36328125" bestFit="1" customWidth="1"/>
    <col min="14" max="14" width="20.453125" bestFit="1" customWidth="1"/>
    <col min="15" max="15" width="22.36328125" bestFit="1" customWidth="1"/>
    <col min="16" max="16" width="22.36328125" customWidth="1"/>
    <col min="17" max="17" width="19.90625" customWidth="1"/>
    <col min="18" max="18" width="17.6328125" bestFit="1" customWidth="1"/>
  </cols>
  <sheetData>
    <row r="1" spans="1:18" s="2" customFormat="1" ht="130.5" x14ac:dyDescent="0.35">
      <c r="A1" s="14" t="s">
        <v>34</v>
      </c>
      <c r="B1" s="14" t="s">
        <v>35</v>
      </c>
      <c r="C1" s="14" t="s">
        <v>36</v>
      </c>
      <c r="D1" s="14" t="s">
        <v>37</v>
      </c>
      <c r="E1" s="14" t="s">
        <v>100</v>
      </c>
      <c r="F1" s="14" t="s">
        <v>38</v>
      </c>
      <c r="G1" s="14" t="s">
        <v>84</v>
      </c>
      <c r="H1" s="14" t="s">
        <v>39</v>
      </c>
      <c r="I1" s="14" t="s">
        <v>40</v>
      </c>
      <c r="J1" s="14" t="s">
        <v>41</v>
      </c>
      <c r="K1" s="14" t="s">
        <v>42</v>
      </c>
      <c r="L1" s="14" t="s">
        <v>81</v>
      </c>
      <c r="M1" s="14" t="s">
        <v>43</v>
      </c>
      <c r="N1" s="14" t="s">
        <v>44</v>
      </c>
      <c r="O1" s="1" t="s">
        <v>46</v>
      </c>
      <c r="P1" s="14" t="s">
        <v>82</v>
      </c>
      <c r="Q1" s="14" t="s">
        <v>47</v>
      </c>
      <c r="R1" s="14" t="s">
        <v>48</v>
      </c>
    </row>
    <row r="2" spans="1:18" s="3" customFormat="1" ht="46.5" customHeight="1" x14ac:dyDescent="0.35">
      <c r="A2" s="4" t="s">
        <v>0</v>
      </c>
      <c r="B2" s="5" t="s">
        <v>1</v>
      </c>
      <c r="C2" s="6" t="s">
        <v>2</v>
      </c>
      <c r="D2" s="7" t="s">
        <v>12</v>
      </c>
      <c r="E2" s="16" t="s">
        <v>101</v>
      </c>
      <c r="F2" s="5" t="s">
        <v>3</v>
      </c>
      <c r="G2" s="5" t="s">
        <v>25</v>
      </c>
      <c r="H2" s="6" t="s">
        <v>9</v>
      </c>
      <c r="I2" s="6" t="s">
        <v>10</v>
      </c>
      <c r="J2" s="6" t="s">
        <v>4</v>
      </c>
      <c r="K2" s="4" t="s">
        <v>7</v>
      </c>
      <c r="L2" s="4" t="s">
        <v>49</v>
      </c>
      <c r="M2" s="4" t="s">
        <v>5</v>
      </c>
      <c r="N2" s="4" t="s">
        <v>6</v>
      </c>
      <c r="O2" s="4" t="s">
        <v>45</v>
      </c>
      <c r="P2" s="15" t="s">
        <v>83</v>
      </c>
      <c r="Q2" s="5" t="s">
        <v>8</v>
      </c>
      <c r="R2" s="6" t="s">
        <v>11</v>
      </c>
    </row>
    <row r="3" spans="1:18" s="1" customFormat="1" ht="27.5" customHeight="1" x14ac:dyDescent="0.35">
      <c r="A3" s="1" t="s">
        <v>14</v>
      </c>
      <c r="B3" s="1" t="s">
        <v>13</v>
      </c>
      <c r="C3" s="1" t="s">
        <v>24</v>
      </c>
      <c r="D3" s="1" t="s">
        <v>15</v>
      </c>
      <c r="F3" s="1" t="s">
        <v>16</v>
      </c>
      <c r="G3" s="1" t="s">
        <v>99</v>
      </c>
      <c r="H3" s="1" t="s">
        <v>17</v>
      </c>
      <c r="I3" s="1" t="s">
        <v>18</v>
      </c>
      <c r="J3" s="1" t="s">
        <v>16</v>
      </c>
      <c r="K3" s="1" t="s">
        <v>27</v>
      </c>
      <c r="L3" s="1" t="s">
        <v>51</v>
      </c>
      <c r="M3" s="8">
        <v>0.08</v>
      </c>
      <c r="N3" s="8">
        <f>M3*O3</f>
        <v>0.8</v>
      </c>
      <c r="O3" s="1">
        <v>10</v>
      </c>
      <c r="P3" s="1">
        <v>100</v>
      </c>
      <c r="Q3" s="9">
        <v>0.1</v>
      </c>
      <c r="R3" s="1" t="s">
        <v>24</v>
      </c>
    </row>
    <row r="4" spans="1:18" s="1" customFormat="1" ht="27.5" customHeight="1" x14ac:dyDescent="0.35">
      <c r="A4" s="1" t="s">
        <v>21</v>
      </c>
      <c r="B4" s="1" t="s">
        <v>19</v>
      </c>
      <c r="C4" s="1" t="s">
        <v>24</v>
      </c>
      <c r="D4" s="1" t="s">
        <v>20</v>
      </c>
      <c r="F4" s="1" t="s">
        <v>16</v>
      </c>
      <c r="G4" s="1" t="s">
        <v>99</v>
      </c>
      <c r="H4" s="1" t="s">
        <v>22</v>
      </c>
      <c r="I4" s="1" t="s">
        <v>23</v>
      </c>
      <c r="J4" s="1" t="s">
        <v>16</v>
      </c>
      <c r="K4" s="1" t="s">
        <v>27</v>
      </c>
      <c r="L4" s="1" t="s">
        <v>51</v>
      </c>
      <c r="M4" s="10">
        <v>0.14000000000000001</v>
      </c>
      <c r="N4" s="11">
        <f>M4*O4</f>
        <v>4.2</v>
      </c>
      <c r="O4" s="1">
        <v>30</v>
      </c>
      <c r="P4" s="1">
        <v>100</v>
      </c>
      <c r="Q4" s="12">
        <v>0.1</v>
      </c>
      <c r="R4" s="1" t="s">
        <v>24</v>
      </c>
    </row>
  </sheetData>
  <phoneticPr fontId="4" type="noConversion"/>
  <dataValidations count="1">
    <dataValidation type="custom" allowBlank="1" showInputMessage="1" showErrorMessage="1" sqref="Q2" xr:uid="{31BB1052-BE0A-4F37-B806-8988CE49BB1E}">
      <formula1>"A1:A5"</formula1>
    </dataValidation>
  </dataValidations>
  <pageMargins left="0.7" right="0.7" top="0.75" bottom="0.75" header="0.3" footer="0.3"/>
  <pageSetup paperSize="9" orientation="portrait" horizontalDpi="4294967293" verticalDpi="4294967293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0FD2659-80A4-401C-9767-42F15687CFCC}">
          <x14:formula1>
            <xm:f>Elenchi!$E$2:$E$5</xm:f>
          </x14:formula1>
          <xm:sqref>K3:K1048576</xm:sqref>
        </x14:dataValidation>
        <x14:dataValidation type="list" allowBlank="1" showInputMessage="1" showErrorMessage="1" xr:uid="{3A8F9A28-191A-4EC4-8FE1-190D8B4D6F6D}">
          <x14:formula1>
            <xm:f>Elenchi!$A$2:$A$5</xm:f>
          </x14:formula1>
          <xm:sqref>Q3:Q1048576</xm:sqref>
        </x14:dataValidation>
        <x14:dataValidation type="list" allowBlank="1" showInputMessage="1" showErrorMessage="1" xr:uid="{A0E16EEA-93F3-402F-BF32-7A6729D7F795}">
          <x14:formula1>
            <xm:f>Elenchi!$C$2:$C$3</xm:f>
          </x14:formula1>
          <xm:sqref>J3:J1048576 F3:F1048576</xm:sqref>
        </x14:dataValidation>
        <x14:dataValidation type="list" allowBlank="1" showInputMessage="1" showErrorMessage="1" xr:uid="{8D7997EB-189A-474C-8213-A479DB78B80D}">
          <x14:formula1>
            <xm:f>Elenchi!$H$2:$H$32</xm:f>
          </x14:formula1>
          <xm:sqref>L3:L1048576</xm:sqref>
        </x14:dataValidation>
        <x14:dataValidation type="list" allowBlank="1" showInputMessage="1" showErrorMessage="1" xr:uid="{ABD605DA-6C19-432E-9DF7-71E19D5A404D}">
          <x14:formula1>
            <xm:f>Elenchi!$J$2:$J$16</xm:f>
          </x14:formula1>
          <xm:sqref>G3:G1048576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2F39-ED8E-456A-A7A4-55AC3754516B}">
  <dimension ref="A1:J32"/>
  <sheetViews>
    <sheetView workbookViewId="0">
      <selection activeCell="J17" sqref="J17"/>
    </sheetView>
  </sheetViews>
  <sheetFormatPr defaultRowHeight="14.5" x14ac:dyDescent="0.35"/>
  <cols>
    <col min="5" max="5" width="21" customWidth="1"/>
    <col min="8" max="8" width="24" customWidth="1"/>
    <col min="10" max="10" width="31.36328125" bestFit="1" customWidth="1"/>
  </cols>
  <sheetData>
    <row r="1" spans="1:10" x14ac:dyDescent="0.35">
      <c r="A1" t="s">
        <v>28</v>
      </c>
      <c r="C1" t="s">
        <v>32</v>
      </c>
      <c r="E1" t="s">
        <v>29</v>
      </c>
      <c r="H1" t="s">
        <v>49</v>
      </c>
      <c r="J1" t="s">
        <v>25</v>
      </c>
    </row>
    <row r="2" spans="1:10" x14ac:dyDescent="0.35">
      <c r="A2" s="13">
        <v>0</v>
      </c>
      <c r="C2" t="s">
        <v>33</v>
      </c>
      <c r="E2" t="s">
        <v>26</v>
      </c>
      <c r="H2" t="s">
        <v>50</v>
      </c>
      <c r="J2" t="s">
        <v>85</v>
      </c>
    </row>
    <row r="3" spans="1:10" x14ac:dyDescent="0.35">
      <c r="A3" s="13">
        <v>0.04</v>
      </c>
      <c r="C3" t="s">
        <v>16</v>
      </c>
      <c r="E3" t="s">
        <v>30</v>
      </c>
      <c r="H3" t="s">
        <v>51</v>
      </c>
      <c r="J3" t="s">
        <v>86</v>
      </c>
    </row>
    <row r="4" spans="1:10" x14ac:dyDescent="0.35">
      <c r="A4" s="13">
        <v>0.1</v>
      </c>
      <c r="E4" t="s">
        <v>27</v>
      </c>
      <c r="H4" t="s">
        <v>52</v>
      </c>
      <c r="J4" t="s">
        <v>87</v>
      </c>
    </row>
    <row r="5" spans="1:10" x14ac:dyDescent="0.35">
      <c r="A5" s="13">
        <v>0.22</v>
      </c>
      <c r="E5" t="s">
        <v>31</v>
      </c>
      <c r="H5" t="s">
        <v>53</v>
      </c>
      <c r="J5" t="s">
        <v>88</v>
      </c>
    </row>
    <row r="6" spans="1:10" x14ac:dyDescent="0.35">
      <c r="H6" t="s">
        <v>54</v>
      </c>
      <c r="J6" t="s">
        <v>89</v>
      </c>
    </row>
    <row r="7" spans="1:10" x14ac:dyDescent="0.35">
      <c r="H7" t="s">
        <v>55</v>
      </c>
      <c r="J7" t="s">
        <v>90</v>
      </c>
    </row>
    <row r="8" spans="1:10" x14ac:dyDescent="0.35">
      <c r="H8" t="s">
        <v>56</v>
      </c>
      <c r="J8" t="s">
        <v>91</v>
      </c>
    </row>
    <row r="9" spans="1:10" x14ac:dyDescent="0.35">
      <c r="H9" t="s">
        <v>57</v>
      </c>
      <c r="J9" t="s">
        <v>92</v>
      </c>
    </row>
    <row r="10" spans="1:10" x14ac:dyDescent="0.35">
      <c r="H10" t="s">
        <v>58</v>
      </c>
      <c r="J10" t="s">
        <v>93</v>
      </c>
    </row>
    <row r="11" spans="1:10" x14ac:dyDescent="0.35">
      <c r="H11" t="s">
        <v>59</v>
      </c>
      <c r="J11" t="s">
        <v>94</v>
      </c>
    </row>
    <row r="12" spans="1:10" x14ac:dyDescent="0.35">
      <c r="H12" t="s">
        <v>60</v>
      </c>
      <c r="J12" t="s">
        <v>95</v>
      </c>
    </row>
    <row r="13" spans="1:10" x14ac:dyDescent="0.35">
      <c r="H13" t="s">
        <v>61</v>
      </c>
      <c r="J13" t="s">
        <v>96</v>
      </c>
    </row>
    <row r="14" spans="1:10" x14ac:dyDescent="0.35">
      <c r="H14" t="s">
        <v>62</v>
      </c>
      <c r="J14" t="s">
        <v>97</v>
      </c>
    </row>
    <row r="15" spans="1:10" x14ac:dyDescent="0.35">
      <c r="H15" t="s">
        <v>63</v>
      </c>
      <c r="J15" t="s">
        <v>98</v>
      </c>
    </row>
    <row r="16" spans="1:10" x14ac:dyDescent="0.35">
      <c r="H16" t="s">
        <v>64</v>
      </c>
      <c r="J16" t="s">
        <v>99</v>
      </c>
    </row>
    <row r="17" spans="8:8" x14ac:dyDescent="0.35">
      <c r="H17" t="s">
        <v>65</v>
      </c>
    </row>
    <row r="18" spans="8:8" x14ac:dyDescent="0.35">
      <c r="H18" t="s">
        <v>66</v>
      </c>
    </row>
    <row r="19" spans="8:8" x14ac:dyDescent="0.35">
      <c r="H19" t="s">
        <v>67</v>
      </c>
    </row>
    <row r="20" spans="8:8" x14ac:dyDescent="0.35">
      <c r="H20" t="s">
        <v>68</v>
      </c>
    </row>
    <row r="21" spans="8:8" x14ac:dyDescent="0.35">
      <c r="H21" t="s">
        <v>69</v>
      </c>
    </row>
    <row r="22" spans="8:8" x14ac:dyDescent="0.35">
      <c r="H22" t="s">
        <v>70</v>
      </c>
    </row>
    <row r="23" spans="8:8" x14ac:dyDescent="0.35">
      <c r="H23" t="s">
        <v>71</v>
      </c>
    </row>
    <row r="24" spans="8:8" x14ac:dyDescent="0.35">
      <c r="H24" t="s">
        <v>72</v>
      </c>
    </row>
    <row r="25" spans="8:8" x14ac:dyDescent="0.35">
      <c r="H25" t="s">
        <v>73</v>
      </c>
    </row>
    <row r="26" spans="8:8" x14ac:dyDescent="0.35">
      <c r="H26" t="s">
        <v>74</v>
      </c>
    </row>
    <row r="27" spans="8:8" x14ac:dyDescent="0.35">
      <c r="H27" t="s">
        <v>75</v>
      </c>
    </row>
    <row r="28" spans="8:8" x14ac:dyDescent="0.35">
      <c r="H28" t="s">
        <v>76</v>
      </c>
    </row>
    <row r="29" spans="8:8" x14ac:dyDescent="0.35">
      <c r="H29" t="s">
        <v>77</v>
      </c>
    </row>
    <row r="30" spans="8:8" x14ac:dyDescent="0.35">
      <c r="H30" t="s">
        <v>78</v>
      </c>
    </row>
    <row r="31" spans="8:8" x14ac:dyDescent="0.35">
      <c r="H31" t="s">
        <v>79</v>
      </c>
    </row>
    <row r="32" spans="8:8" x14ac:dyDescent="0.35">
      <c r="H32" t="s">
        <v>80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Tracciato</vt:lpstr>
      <vt:lpstr>Elenchi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Pulvirenti</dc:creator>
  <cp:lastModifiedBy>Luca Pulvirenti</cp:lastModifiedBy>
  <dcterms:created xsi:type="dcterms:W3CDTF">2026-09-11T06:29:30Z</dcterms:created>
  <dcterms:modified xsi:type="dcterms:W3CDTF">2026-09-17T13:06:18Z</dcterms:modified>
</cp:coreProperties>
</file>